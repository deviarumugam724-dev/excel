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620" activeTab="4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<sst xmlns="http://schemas.openxmlformats.org/spreadsheetml/2006/main" count="120" uniqueCount="84">
  <si>
    <t>Name</t>
  </si>
  <si>
    <t>Score</t>
  </si>
  <si>
    <t>IF</t>
  </si>
  <si>
    <t>CountIf</t>
  </si>
  <si>
    <t>Sumif</t>
  </si>
  <si>
    <t>Averageif</t>
  </si>
  <si>
    <t>Concat</t>
  </si>
  <si>
    <t>dev</t>
  </si>
  <si>
    <t>pavi</t>
  </si>
  <si>
    <t>sanju</t>
  </si>
  <si>
    <t>preeti</t>
  </si>
  <si>
    <t>Employee</t>
  </si>
  <si>
    <t>Region</t>
  </si>
  <si>
    <t>Sales</t>
  </si>
  <si>
    <t>Quarter</t>
  </si>
  <si>
    <t>Index</t>
  </si>
  <si>
    <t>Match</t>
  </si>
  <si>
    <t>Unique</t>
  </si>
  <si>
    <t>IFS</t>
  </si>
  <si>
    <t>countIFS</t>
  </si>
  <si>
    <t>SUMIF</t>
  </si>
  <si>
    <t>AverageIFS</t>
  </si>
  <si>
    <t>meenakshi</t>
  </si>
  <si>
    <t>north</t>
  </si>
  <si>
    <t>Q1</t>
  </si>
  <si>
    <t>south</t>
  </si>
  <si>
    <t>niran</t>
  </si>
  <si>
    <t>Q2</t>
  </si>
  <si>
    <t>kiran</t>
  </si>
  <si>
    <t>rohit</t>
  </si>
  <si>
    <t>east</t>
  </si>
  <si>
    <t>Q3</t>
  </si>
  <si>
    <t>haran</t>
  </si>
  <si>
    <t>meenu</t>
  </si>
  <si>
    <t>A</t>
  </si>
  <si>
    <t>Left</t>
  </si>
  <si>
    <t>Right</t>
  </si>
  <si>
    <t>Mid</t>
  </si>
  <si>
    <t>Len</t>
  </si>
  <si>
    <t>Substitute</t>
  </si>
  <si>
    <t>Search</t>
  </si>
  <si>
    <t>Isnumber</t>
  </si>
  <si>
    <t>Apple Juice</t>
  </si>
  <si>
    <t>mango shake</t>
  </si>
  <si>
    <t>excel functions</t>
  </si>
  <si>
    <t>data science</t>
  </si>
  <si>
    <t>PRODUCT ID</t>
  </si>
  <si>
    <t>PRODUCTNAME</t>
  </si>
  <si>
    <t>CATEGORY</t>
  </si>
  <si>
    <t>PRICE</t>
  </si>
  <si>
    <t>vlookup</t>
  </si>
  <si>
    <t>P001</t>
  </si>
  <si>
    <t>Lapttop</t>
  </si>
  <si>
    <t>electronic</t>
  </si>
  <si>
    <t>P002</t>
  </si>
  <si>
    <t>Mouse</t>
  </si>
  <si>
    <t>P003</t>
  </si>
  <si>
    <t>Desk</t>
  </si>
  <si>
    <t>furniture</t>
  </si>
  <si>
    <t>P004</t>
  </si>
  <si>
    <t>Chair</t>
  </si>
  <si>
    <t>P005</t>
  </si>
  <si>
    <t>Monitor</t>
  </si>
  <si>
    <t>P006</t>
  </si>
  <si>
    <t>Lamp</t>
  </si>
  <si>
    <t>HLOOKUP</t>
  </si>
  <si>
    <t>XLOOKUP</t>
  </si>
  <si>
    <t>COUNT</t>
  </si>
  <si>
    <t>COUNTA</t>
  </si>
  <si>
    <t>Laptop</t>
  </si>
  <si>
    <t>PROJECT ID</t>
  </si>
  <si>
    <t>START DATE</t>
  </si>
  <si>
    <t>END DATE</t>
  </si>
  <si>
    <t>TODAY</t>
  </si>
  <si>
    <t>NOW</t>
  </si>
  <si>
    <t>YEAR</t>
  </si>
  <si>
    <t>MONTH</t>
  </si>
  <si>
    <t>NETWORKDAYS</t>
  </si>
  <si>
    <t>EOMONTH</t>
  </si>
  <si>
    <t>PRJ001</t>
  </si>
  <si>
    <t>PRJ002</t>
  </si>
  <si>
    <t>PRJ003</t>
  </si>
  <si>
    <t>PRJ004</t>
  </si>
  <si>
    <t>PRJ005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</si>
</sst>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  <numFmt numFmtId="181" formatCode="dd/mm/yyyy\ hh:mm"/>
  </numFmts>
  <fonts count="25">
    <font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2.5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2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5">
    <fill>
      <patternFill patternType="none"/>
    </fill>
    <fill>
      <patternFill patternType="gray125"/>
    </fill>
    <fill>
      <patternFill patternType="solid">
        <fgColor theme="7" tint="-0.25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6" tint="-0.25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5" borderId="5" applyNumberFormat="0" applyAlignment="0" applyProtection="0">
      <alignment vertical="center"/>
    </xf>
    <xf numFmtId="0" fontId="15" fillId="16" borderId="6" applyNumberFormat="0" applyAlignment="0" applyProtection="0">
      <alignment vertical="center"/>
    </xf>
    <xf numFmtId="0" fontId="16" fillId="16" borderId="5" applyNumberFormat="0" applyAlignment="0" applyProtection="0">
      <alignment vertical="center"/>
    </xf>
    <xf numFmtId="0" fontId="17" fillId="17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4" fillId="43" borderId="0" applyNumberFormat="0" applyBorder="0" applyAlignment="0" applyProtection="0">
      <alignment vertical="center"/>
    </xf>
    <xf numFmtId="0" fontId="23" fillId="44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0" fillId="3" borderId="1" xfId="0" applyFill="1" applyBorder="1">
      <alignment vertical="center"/>
    </xf>
    <xf numFmtId="180" fontId="0" fillId="3" borderId="1" xfId="0" applyNumberFormat="1" applyFill="1" applyBorder="1">
      <alignment vertical="center"/>
    </xf>
    <xf numFmtId="181" fontId="0" fillId="3" borderId="1" xfId="0" applyNumberFormat="1" applyFill="1" applyBorder="1">
      <alignment vertical="center"/>
    </xf>
    <xf numFmtId="0" fontId="1" fillId="2" borderId="1" xfId="0" applyFont="1" applyFill="1" applyBorder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>
      <alignment vertical="center"/>
    </xf>
    <xf numFmtId="0" fontId="1" fillId="4" borderId="1" xfId="0" applyFont="1" applyFill="1" applyBorder="1">
      <alignment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>
      <alignment vertical="center"/>
    </xf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>
      <alignment vertical="center"/>
    </xf>
    <xf numFmtId="0" fontId="3" fillId="8" borderId="1" xfId="0" applyFont="1" applyFill="1" applyBorder="1">
      <alignment vertical="center"/>
    </xf>
    <xf numFmtId="0" fontId="1" fillId="9" borderId="1" xfId="0" applyFont="1" applyFill="1" applyBorder="1">
      <alignment vertical="center"/>
    </xf>
    <xf numFmtId="0" fontId="2" fillId="10" borderId="1" xfId="0" applyFont="1" applyFill="1" applyBorder="1">
      <alignment vertical="center"/>
    </xf>
    <xf numFmtId="0" fontId="0" fillId="0" borderId="1" xfId="0" applyBorder="1">
      <alignment vertical="center"/>
    </xf>
    <xf numFmtId="0" fontId="4" fillId="0" borderId="0" xfId="0" applyFont="1">
      <alignment vertical="center"/>
    </xf>
    <xf numFmtId="0" fontId="1" fillId="11" borderId="1" xfId="0" applyFont="1" applyFill="1" applyBorder="1">
      <alignment vertical="center"/>
    </xf>
    <xf numFmtId="0" fontId="2" fillId="12" borderId="1" xfId="0" applyFont="1" applyFill="1" applyBorder="1">
      <alignment vertical="center"/>
    </xf>
    <xf numFmtId="0" fontId="5" fillId="13" borderId="1" xfId="0" applyFont="1" applyFill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9">
    <dxf>
      <fill>
        <patternFill patternType="solid">
          <bgColor rgb="FF00B050"/>
        </patternFill>
      </fill>
    </dxf>
    <dxf>
      <fill>
        <patternFill patternType="solid">
          <bgColor theme="9" tint="-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eetMetadata" Target="metadata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N14" sqref="N14"/>
    </sheetView>
  </sheetViews>
  <sheetFormatPr defaultColWidth="9.14285714285714" defaultRowHeight="15" outlineLevelRow="4" outlineLevelCol="7"/>
  <cols>
    <col min="6" max="6" width="13.7142857142857" customWidth="1"/>
  </cols>
  <sheetData>
    <row r="1" ht="15.75" spans="1:8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8"/>
    </row>
    <row r="2" ht="15.75" spans="1:8">
      <c r="A2" s="22" t="s">
        <v>7</v>
      </c>
      <c r="B2" s="22">
        <v>45</v>
      </c>
      <c r="C2" s="22" t="str">
        <f>IF(B2&gt;=50,"Pass","Fail")</f>
        <v>Fail</v>
      </c>
      <c r="D2" s="22">
        <f>COUNTIF(B2:B5,"&gt;50")</f>
        <v>2</v>
      </c>
      <c r="E2" s="22">
        <f>SUMIF(B2:B5,"&gt;50",B2:B5)</f>
        <v>120</v>
      </c>
      <c r="F2" s="22">
        <f>AVERAGE(B2:B5)</f>
        <v>50</v>
      </c>
      <c r="G2" s="22" t="str">
        <f>_xlfn.CONCAT(A2,"-",B2)</f>
        <v>dev-45</v>
      </c>
      <c r="H2" s="8"/>
    </row>
    <row r="3" ht="15.75" spans="1:8">
      <c r="A3" s="22" t="s">
        <v>8</v>
      </c>
      <c r="B3" s="23">
        <v>65</v>
      </c>
      <c r="C3" s="22" t="str">
        <f>IF(B3&gt;=50,"Pass","Fail")</f>
        <v>Pass</v>
      </c>
      <c r="D3" s="22"/>
      <c r="E3" s="22"/>
      <c r="F3" s="22"/>
      <c r="G3" s="22"/>
      <c r="H3" s="8"/>
    </row>
    <row r="4" ht="15.75" spans="1:8">
      <c r="A4" s="22" t="s">
        <v>9</v>
      </c>
      <c r="B4" s="23">
        <v>55</v>
      </c>
      <c r="C4" s="22" t="str">
        <f>IF(B4&gt;=50,"Pass","Fail")</f>
        <v>Pass</v>
      </c>
      <c r="D4" s="22"/>
      <c r="E4" s="22"/>
      <c r="F4" s="22"/>
      <c r="G4" s="22"/>
      <c r="H4" s="8"/>
    </row>
    <row r="5" ht="15.75" spans="1:8">
      <c r="A5" s="22" t="s">
        <v>10</v>
      </c>
      <c r="B5" s="22">
        <v>35</v>
      </c>
      <c r="C5" s="22" t="str">
        <f>IF(B5&gt;=50,"Pass","Fail")</f>
        <v>Fail</v>
      </c>
      <c r="D5" s="22"/>
      <c r="E5" s="22"/>
      <c r="F5" s="22"/>
      <c r="G5" s="22"/>
      <c r="H5" s="8"/>
    </row>
  </sheetData>
  <conditionalFormatting sqref="B1:B5">
    <cfRule type="expression" dxfId="0" priority="5">
      <formula>"B2&gt;50"</formula>
    </cfRule>
    <cfRule type="expression" priority="4">
      <formula>"B2&gt;50"</formula>
    </cfRule>
    <cfRule type="expression" dxfId="1" priority="3">
      <formula>"B2&gt;50"</formula>
    </cfRule>
  </conditionalFormatting>
  <conditionalFormatting sqref="B2:B5">
    <cfRule type="expression" dxfId="0" priority="2">
      <formula>B2&gt;50</formula>
    </cfRule>
    <cfRule type="expression" dxfId="1" priority="1">
      <formula>B2&gt;50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"/>
  <sheetViews>
    <sheetView workbookViewId="0">
      <selection activeCell="I2" sqref="I2"/>
    </sheetView>
  </sheetViews>
  <sheetFormatPr defaultColWidth="9.14285714285714" defaultRowHeight="15"/>
  <cols>
    <col min="1" max="1" width="11" customWidth="1"/>
    <col min="7" max="7" width="12.7142857142857" customWidth="1"/>
    <col min="11" max="11" width="11.5714285714286" customWidth="1"/>
  </cols>
  <sheetData>
    <row r="1" ht="15.75" spans="1:12">
      <c r="A1" s="17" t="s">
        <v>11</v>
      </c>
      <c r="B1" s="17" t="s">
        <v>12</v>
      </c>
      <c r="C1" s="17" t="s">
        <v>13</v>
      </c>
      <c r="D1" s="17" t="s">
        <v>14</v>
      </c>
      <c r="E1" s="17" t="s">
        <v>15</v>
      </c>
      <c r="F1" s="17" t="s">
        <v>16</v>
      </c>
      <c r="G1" s="17" t="s">
        <v>17</v>
      </c>
      <c r="H1" s="17" t="s">
        <v>18</v>
      </c>
      <c r="I1" s="17" t="s">
        <v>19</v>
      </c>
      <c r="J1" s="17" t="s">
        <v>20</v>
      </c>
      <c r="K1" s="17" t="s">
        <v>21</v>
      </c>
      <c r="L1" s="20"/>
    </row>
    <row r="2" ht="15.75" spans="1:11">
      <c r="A2" s="18" t="s">
        <v>22</v>
      </c>
      <c r="B2" s="18" t="s">
        <v>23</v>
      </c>
      <c r="C2" s="18">
        <v>5000</v>
      </c>
      <c r="D2" s="18" t="s">
        <v>24</v>
      </c>
      <c r="E2" s="18" t="str">
        <f>INDEX(A2:D9,3,4)</f>
        <v>Q2</v>
      </c>
      <c r="F2" s="18">
        <f>MATCH(D4,D2:D9,0)</f>
        <v>3</v>
      </c>
      <c r="G2" s="18" t="str" cm="1">
        <f t="array" ref="G2:G8">_xlfn.UNIQUE(A2:A9)</f>
        <v>meenakshi</v>
      </c>
      <c r="H2" s="18" t="str" cm="1">
        <f t="array" ref="H2">_xlfn.IFS(C2&lt;5000,"Low",C2&lt;=7000,"Medium",C2&gt;7000,"High")</f>
        <v>Medium</v>
      </c>
      <c r="I2" s="18">
        <f>COUNTIF(C2:C9,6000)</f>
        <v>2</v>
      </c>
      <c r="J2" s="18">
        <f>SUMIFS(C2:C9,A2:A9,"pavi")</f>
        <v>17000</v>
      </c>
      <c r="K2" s="18">
        <f>AVERAGEIFS(C2:C9,A2:A9,"kiran")</f>
        <v>6000</v>
      </c>
    </row>
    <row r="3" ht="15.75" spans="1:11">
      <c r="A3" s="18" t="s">
        <v>8</v>
      </c>
      <c r="B3" s="18" t="s">
        <v>25</v>
      </c>
      <c r="C3" s="18">
        <v>8000</v>
      </c>
      <c r="D3" s="18" t="s">
        <v>24</v>
      </c>
      <c r="E3" s="18"/>
      <c r="F3" s="18"/>
      <c r="G3" s="18" t="str">
        <v>pavi</v>
      </c>
      <c r="H3" s="18" t="str" cm="1">
        <f t="array" ref="H3">_xlfn.IFS(C3&lt;5000,"Low",C3&lt;=7000,"Medium",C3&gt;7000,"High")</f>
        <v>High</v>
      </c>
      <c r="I3" s="18"/>
      <c r="J3" s="18"/>
      <c r="K3" s="18"/>
    </row>
    <row r="4" ht="15.75" spans="1:11">
      <c r="A4" s="18" t="s">
        <v>26</v>
      </c>
      <c r="B4" s="18" t="s">
        <v>23</v>
      </c>
      <c r="C4" s="18">
        <v>7000</v>
      </c>
      <c r="D4" s="18" t="s">
        <v>27</v>
      </c>
      <c r="E4" s="18"/>
      <c r="F4" s="18"/>
      <c r="G4" s="18" t="str">
        <v>niran</v>
      </c>
      <c r="H4" s="18" t="str" cm="1">
        <f t="array" ref="H4">_xlfn.IFS(C4&lt;5000,"Low",C4&lt;=7000,"Medium",C4&gt;7000,"High")</f>
        <v>Medium</v>
      </c>
      <c r="I4" s="18"/>
      <c r="J4" s="18"/>
      <c r="K4" s="18"/>
    </row>
    <row r="5" ht="15.75" spans="1:11">
      <c r="A5" s="18" t="s">
        <v>28</v>
      </c>
      <c r="B5" s="18" t="s">
        <v>25</v>
      </c>
      <c r="C5" s="18">
        <v>6000</v>
      </c>
      <c r="D5" s="18" t="s">
        <v>27</v>
      </c>
      <c r="E5" s="18"/>
      <c r="F5" s="18"/>
      <c r="G5" s="18" t="str">
        <v>kiran</v>
      </c>
      <c r="H5" s="18" t="str" cm="1">
        <f t="array" ref="H5">_xlfn.IFS(C5&lt;5000,"Low",C5&lt;=7000,"Medium",C5&gt;7000,"High")</f>
        <v>Medium</v>
      </c>
      <c r="I5" s="18"/>
      <c r="J5" s="18"/>
      <c r="K5" s="18"/>
    </row>
    <row r="6" ht="15.75" spans="1:11">
      <c r="A6" s="18" t="s">
        <v>29</v>
      </c>
      <c r="B6" s="18" t="s">
        <v>30</v>
      </c>
      <c r="C6" s="18">
        <v>4000</v>
      </c>
      <c r="D6" s="18" t="s">
        <v>24</v>
      </c>
      <c r="E6" s="18"/>
      <c r="F6" s="18"/>
      <c r="G6" s="18" t="str">
        <v>rohit</v>
      </c>
      <c r="H6" s="18" t="str" cm="1">
        <f t="array" ref="H6">_xlfn.IFS(C6&lt;5000,"Low",C6&lt;=7000,"Medium",C6&gt;7000,"High")</f>
        <v>Low</v>
      </c>
      <c r="I6" s="18"/>
      <c r="J6" s="18"/>
      <c r="K6" s="18"/>
    </row>
    <row r="7" ht="15.75" spans="1:11">
      <c r="A7" s="18" t="s">
        <v>8</v>
      </c>
      <c r="B7" s="18" t="s">
        <v>23</v>
      </c>
      <c r="C7" s="18">
        <v>9000</v>
      </c>
      <c r="D7" s="18" t="s">
        <v>31</v>
      </c>
      <c r="E7" s="18"/>
      <c r="F7" s="18"/>
      <c r="G7" s="18" t="str">
        <v>haran</v>
      </c>
      <c r="H7" s="18" t="str" cm="1">
        <f t="array" ref="H7">_xlfn.IFS(C7&lt;5000,"Low",C7&lt;=7000,"Medium",C7&gt;7000,"High")</f>
        <v>High</v>
      </c>
      <c r="I7" s="18"/>
      <c r="J7" s="18"/>
      <c r="K7" s="18"/>
    </row>
    <row r="8" ht="15.75" spans="1:11">
      <c r="A8" s="18" t="s">
        <v>32</v>
      </c>
      <c r="B8" s="18" t="s">
        <v>25</v>
      </c>
      <c r="C8" s="18">
        <v>3000</v>
      </c>
      <c r="D8" s="18" t="s">
        <v>31</v>
      </c>
      <c r="E8" s="18"/>
      <c r="F8" s="18"/>
      <c r="G8" s="18" t="str">
        <v>meenu</v>
      </c>
      <c r="H8" s="18" t="str" cm="1">
        <f t="array" ref="H8">_xlfn.IFS(C8&lt;5000,"Low",C8&lt;=7000,"Medium",C8&gt;7000,"High")</f>
        <v>Low</v>
      </c>
      <c r="I8" s="18"/>
      <c r="J8" s="18"/>
      <c r="K8" s="18"/>
    </row>
    <row r="9" ht="15.75" spans="1:11">
      <c r="A9" s="18" t="s">
        <v>33</v>
      </c>
      <c r="B9" s="18" t="s">
        <v>30</v>
      </c>
      <c r="C9" s="18">
        <v>6000</v>
      </c>
      <c r="D9" s="18" t="s">
        <v>27</v>
      </c>
      <c r="E9" s="18"/>
      <c r="F9" s="18"/>
      <c r="G9" s="18"/>
      <c r="H9" s="18" t="str" cm="1">
        <f t="array" ref="H9">_xlfn.IFS(C9&lt;5000,"Low",C9&lt;=7000,"Medium",C9&gt;7000,"High")</f>
        <v>Medium</v>
      </c>
      <c r="I9" s="18"/>
      <c r="J9" s="18"/>
      <c r="K9" s="18"/>
    </row>
    <row r="16" spans="8:8">
      <c r="H16" s="19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H15" sqref="H15"/>
    </sheetView>
  </sheetViews>
  <sheetFormatPr defaultColWidth="9.14285714285714" defaultRowHeight="15" outlineLevelRow="4" outlineLevelCol="7"/>
  <cols>
    <col min="1" max="1" width="15.5714285714286" customWidth="1"/>
    <col min="6" max="6" width="10.8571428571429" customWidth="1"/>
  </cols>
  <sheetData>
    <row r="1" ht="15.75" spans="1:8">
      <c r="A1" s="14" t="s">
        <v>34</v>
      </c>
      <c r="B1" s="14" t="s">
        <v>35</v>
      </c>
      <c r="C1" s="14" t="s">
        <v>36</v>
      </c>
      <c r="D1" s="14" t="s">
        <v>37</v>
      </c>
      <c r="E1" s="14" t="s">
        <v>38</v>
      </c>
      <c r="F1" s="14" t="s">
        <v>39</v>
      </c>
      <c r="G1" s="15" t="s">
        <v>40</v>
      </c>
      <c r="H1" s="15" t="s">
        <v>41</v>
      </c>
    </row>
    <row r="2" ht="17.25" spans="1:8">
      <c r="A2" s="16" t="s">
        <v>42</v>
      </c>
      <c r="B2" s="16" t="str">
        <f>LEFT(A2,5)</f>
        <v>Apple</v>
      </c>
      <c r="C2" s="16" t="str">
        <f>RIGHT(A2,5)</f>
        <v>Juice</v>
      </c>
      <c r="D2" s="16" t="str">
        <f>MID(A2,7,5)</f>
        <v>Juice</v>
      </c>
      <c r="E2" s="16">
        <f>LEN(A2)</f>
        <v>11</v>
      </c>
      <c r="F2" s="16" t="str">
        <f>SUBSTITUTE(A2,"Juice","ice")</f>
        <v>Apple ice</v>
      </c>
      <c r="G2" s="16">
        <f>SEARCH("Apple",A2)</f>
        <v>1</v>
      </c>
      <c r="H2" s="16" t="b">
        <f>ISNUMBER(SEARCH("Juice",A2))</f>
        <v>1</v>
      </c>
    </row>
    <row r="3" ht="17.25" spans="1:8">
      <c r="A3" s="16" t="s">
        <v>43</v>
      </c>
      <c r="B3" s="16"/>
      <c r="C3" s="16"/>
      <c r="D3" s="16"/>
      <c r="E3" s="16">
        <f>LEN(A3)</f>
        <v>11</v>
      </c>
      <c r="F3" s="16"/>
      <c r="G3" s="16"/>
      <c r="H3" s="16"/>
    </row>
    <row r="4" ht="17.25" spans="1:8">
      <c r="A4" s="16" t="s">
        <v>44</v>
      </c>
      <c r="B4" s="16"/>
      <c r="C4" s="16"/>
      <c r="D4" s="16"/>
      <c r="E4" s="16">
        <f>LEN(A4)</f>
        <v>15</v>
      </c>
      <c r="F4" s="16"/>
      <c r="G4" s="16"/>
      <c r="H4" s="16"/>
    </row>
    <row r="5" ht="17.25" spans="1:8">
      <c r="A5" s="16" t="s">
        <v>45</v>
      </c>
      <c r="B5" s="16"/>
      <c r="C5" s="16"/>
      <c r="D5" s="16"/>
      <c r="E5" s="16">
        <f>LEN(A5)</f>
        <v>12</v>
      </c>
      <c r="F5" s="16"/>
      <c r="G5" s="16"/>
      <c r="H5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"/>
  <sheetViews>
    <sheetView workbookViewId="0">
      <selection activeCell="M16" sqref="M16"/>
    </sheetView>
  </sheetViews>
  <sheetFormatPr defaultColWidth="9.14285714285714" defaultRowHeight="15"/>
  <cols>
    <col min="1" max="1" width="15.7142857142857" customWidth="1"/>
    <col min="2" max="2" width="16.1428571428571" customWidth="1"/>
    <col min="3" max="3" width="14" customWidth="1"/>
    <col min="4" max="4" width="9.57142857142857" customWidth="1"/>
    <col min="7" max="7" width="10.4285714285714" customWidth="1"/>
  </cols>
  <sheetData>
    <row r="1" ht="15.75" spans="1:12">
      <c r="A1" s="6" t="s">
        <v>46</v>
      </c>
      <c r="B1" s="6" t="s">
        <v>47</v>
      </c>
      <c r="C1" s="6" t="s">
        <v>48</v>
      </c>
      <c r="D1" s="6" t="s">
        <v>49</v>
      </c>
      <c r="E1" s="6" t="s">
        <v>50</v>
      </c>
      <c r="F1" s="7"/>
      <c r="G1" s="8"/>
      <c r="H1" s="8"/>
      <c r="I1" s="8"/>
      <c r="J1" s="8"/>
      <c r="K1" s="8"/>
      <c r="L1" s="8"/>
    </row>
    <row r="2" ht="15.75" spans="1:12">
      <c r="A2" s="9" t="s">
        <v>51</v>
      </c>
      <c r="B2" s="9" t="s">
        <v>52</v>
      </c>
      <c r="C2" s="9" t="s">
        <v>53</v>
      </c>
      <c r="D2" s="9">
        <v>1200</v>
      </c>
      <c r="E2" s="9">
        <f>VLOOKUP(A4,A2:D7,4,FALSE)</f>
        <v>300</v>
      </c>
      <c r="F2" s="9"/>
      <c r="G2" s="8"/>
      <c r="H2" s="8"/>
      <c r="I2" s="8"/>
      <c r="J2" s="8"/>
      <c r="K2" s="8"/>
      <c r="L2" s="8"/>
    </row>
    <row r="3" ht="15.75" spans="1:12">
      <c r="A3" s="9" t="s">
        <v>54</v>
      </c>
      <c r="B3" s="9" t="s">
        <v>55</v>
      </c>
      <c r="C3" s="9" t="s">
        <v>53</v>
      </c>
      <c r="D3" s="9">
        <v>25</v>
      </c>
      <c r="E3" s="9"/>
      <c r="F3" s="9"/>
      <c r="G3" s="8"/>
      <c r="H3" s="8"/>
      <c r="I3" s="8"/>
      <c r="J3" s="8"/>
      <c r="K3" s="8"/>
      <c r="L3" s="8"/>
    </row>
    <row r="4" ht="15.75" spans="1:12">
      <c r="A4" s="9" t="s">
        <v>56</v>
      </c>
      <c r="B4" s="9" t="s">
        <v>57</v>
      </c>
      <c r="C4" s="9" t="s">
        <v>58</v>
      </c>
      <c r="D4" s="9">
        <v>300</v>
      </c>
      <c r="E4" s="9"/>
      <c r="F4" s="9"/>
      <c r="G4" s="8"/>
      <c r="H4" s="8"/>
      <c r="I4" s="8"/>
      <c r="J4" s="8"/>
      <c r="K4" s="8"/>
      <c r="L4" s="8"/>
    </row>
    <row r="5" ht="15.75" spans="1:12">
      <c r="A5" s="9" t="s">
        <v>59</v>
      </c>
      <c r="B5" s="9" t="s">
        <v>60</v>
      </c>
      <c r="C5" s="9" t="s">
        <v>58</v>
      </c>
      <c r="D5" s="9">
        <v>150</v>
      </c>
      <c r="E5" s="9"/>
      <c r="F5" s="9"/>
      <c r="G5" s="8"/>
      <c r="H5" s="8"/>
      <c r="I5" s="8"/>
      <c r="J5" s="8"/>
      <c r="K5" s="8"/>
      <c r="L5" s="8"/>
    </row>
    <row r="6" ht="15.75" spans="1:12">
      <c r="A6" s="9" t="s">
        <v>61</v>
      </c>
      <c r="B6" s="9" t="s">
        <v>62</v>
      </c>
      <c r="C6" s="9" t="s">
        <v>53</v>
      </c>
      <c r="D6" s="9">
        <v>200</v>
      </c>
      <c r="E6" s="9"/>
      <c r="F6" s="9"/>
      <c r="G6" s="8"/>
      <c r="H6" s="8"/>
      <c r="I6" s="8"/>
      <c r="J6" s="8"/>
      <c r="K6" s="8"/>
      <c r="L6" s="8"/>
    </row>
    <row r="7" ht="15.75" spans="1:12">
      <c r="A7" s="9" t="s">
        <v>63</v>
      </c>
      <c r="B7" s="9" t="s">
        <v>64</v>
      </c>
      <c r="C7" s="9" t="s">
        <v>53</v>
      </c>
      <c r="D7" s="9">
        <v>80</v>
      </c>
      <c r="E7" s="10"/>
      <c r="F7" s="10"/>
      <c r="G7" s="8"/>
      <c r="H7" s="8"/>
      <c r="I7" s="8"/>
      <c r="J7" s="8"/>
      <c r="K7" s="8"/>
      <c r="L7" s="8"/>
    </row>
    <row r="8" ht="15.75" spans="1:12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</row>
    <row r="9" ht="15.75" spans="1:12">
      <c r="A9" s="11"/>
      <c r="B9" s="11" t="s">
        <v>51</v>
      </c>
      <c r="C9" s="11" t="s">
        <v>54</v>
      </c>
      <c r="D9" s="11" t="s">
        <v>56</v>
      </c>
      <c r="E9" s="11" t="s">
        <v>59</v>
      </c>
      <c r="F9" s="11" t="s">
        <v>61</v>
      </c>
      <c r="G9" s="6" t="s">
        <v>63</v>
      </c>
      <c r="H9" s="11" t="s">
        <v>65</v>
      </c>
      <c r="I9" s="11" t="s">
        <v>66</v>
      </c>
      <c r="J9" s="11" t="s">
        <v>67</v>
      </c>
      <c r="K9" s="11" t="s">
        <v>68</v>
      </c>
      <c r="L9" s="8"/>
    </row>
    <row r="10" ht="15.75" spans="1:12">
      <c r="A10" s="12" t="s">
        <v>47</v>
      </c>
      <c r="B10" s="12" t="s">
        <v>69</v>
      </c>
      <c r="C10" s="12" t="s">
        <v>55</v>
      </c>
      <c r="D10" s="12" t="s">
        <v>57</v>
      </c>
      <c r="E10" s="12" t="s">
        <v>60</v>
      </c>
      <c r="F10" s="12" t="s">
        <v>62</v>
      </c>
      <c r="G10" s="12" t="s">
        <v>64</v>
      </c>
      <c r="H10" s="13">
        <f>HLOOKUP("P003",B9:G12,4,FALSE)</f>
        <v>300</v>
      </c>
      <c r="I10" s="13" t="str">
        <f>_xlfn.XLOOKUP(A3,A2:A7,B2:B7,"NOT FOUND")</f>
        <v>Mouse</v>
      </c>
      <c r="J10" s="13">
        <f>COUNT(D2:D7)</f>
        <v>6</v>
      </c>
      <c r="K10" s="13">
        <f>COUNTA(B2:B7)</f>
        <v>6</v>
      </c>
      <c r="L10" s="8"/>
    </row>
    <row r="11" ht="15.75" spans="1:12">
      <c r="A11" s="12" t="s">
        <v>48</v>
      </c>
      <c r="B11" s="12" t="s">
        <v>53</v>
      </c>
      <c r="C11" s="12" t="s">
        <v>53</v>
      </c>
      <c r="D11" s="12" t="s">
        <v>58</v>
      </c>
      <c r="E11" s="12" t="s">
        <v>58</v>
      </c>
      <c r="F11" s="12" t="s">
        <v>53</v>
      </c>
      <c r="G11" s="12" t="s">
        <v>53</v>
      </c>
      <c r="H11" s="13"/>
      <c r="I11" s="13"/>
      <c r="J11" s="13"/>
      <c r="K11" s="13"/>
      <c r="L11" s="8"/>
    </row>
    <row r="12" ht="15.75" spans="1:12">
      <c r="A12" s="12" t="s">
        <v>49</v>
      </c>
      <c r="B12" s="12">
        <v>1200</v>
      </c>
      <c r="C12" s="12">
        <v>25</v>
      </c>
      <c r="D12" s="12">
        <v>300</v>
      </c>
      <c r="E12" s="12">
        <v>150</v>
      </c>
      <c r="F12" s="12">
        <v>200</v>
      </c>
      <c r="G12" s="12">
        <v>80</v>
      </c>
      <c r="H12" s="13"/>
      <c r="I12" s="13"/>
      <c r="J12" s="13"/>
      <c r="K12" s="13"/>
      <c r="L12" s="8"/>
    </row>
    <row r="13" ht="15.75" spans="1:12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8"/>
    </row>
    <row r="14" ht="15.75" spans="1:12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8"/>
    </row>
    <row r="15" ht="15.75" spans="1:12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</row>
    <row r="16" ht="15.75" spans="1:12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"/>
  <sheetViews>
    <sheetView tabSelected="1" workbookViewId="0">
      <selection activeCell="F15" sqref="F15"/>
    </sheetView>
  </sheetViews>
  <sheetFormatPr defaultColWidth="9.14285714285714" defaultRowHeight="15" outlineLevelRow="5"/>
  <cols>
    <col min="1" max="1" width="11.5714285714286" customWidth="1"/>
    <col min="2" max="2" width="12.2857142857143" customWidth="1"/>
    <col min="3" max="3" width="11.1428571428571" customWidth="1"/>
    <col min="4" max="4" width="11.1428571428571"/>
    <col min="5" max="5" width="16.7142857142857"/>
    <col min="8" max="8" width="15.7142857142857" customWidth="1"/>
    <col min="9" max="9" width="10.8571428571429" customWidth="1"/>
  </cols>
  <sheetData>
    <row r="1" ht="15.75" spans="1:10">
      <c r="A1" s="1" t="s">
        <v>70</v>
      </c>
      <c r="B1" s="1" t="s">
        <v>71</v>
      </c>
      <c r="C1" s="1" t="s">
        <v>72</v>
      </c>
      <c r="D1" s="1" t="s">
        <v>73</v>
      </c>
      <c r="E1" s="1" t="s">
        <v>74</v>
      </c>
      <c r="F1" s="1" t="s">
        <v>75</v>
      </c>
      <c r="G1" s="1" t="s">
        <v>76</v>
      </c>
      <c r="H1" s="1" t="s">
        <v>77</v>
      </c>
      <c r="I1" s="1" t="s">
        <v>78</v>
      </c>
      <c r="J1" s="5"/>
    </row>
    <row r="2" spans="1:10">
      <c r="A2" s="2" t="s">
        <v>79</v>
      </c>
      <c r="B2" s="3">
        <v>45047</v>
      </c>
      <c r="C2" s="3">
        <v>45230</v>
      </c>
      <c r="D2" s="3">
        <f ca="1">TODAY()</f>
        <v>46069</v>
      </c>
      <c r="E2" s="4">
        <f ca="1">NOW()</f>
        <v>46069.7366203704</v>
      </c>
      <c r="F2" s="2" cm="1">
        <f t="array" ref="F2:F6">YEAR(B2:B6)</f>
        <v>2023</v>
      </c>
      <c r="G2" s="2" cm="1">
        <f t="array" ref="G2:G6">MONTH(C2:C6)</f>
        <v>10</v>
      </c>
      <c r="H2" s="2">
        <f>NETWORKDAYS(B2,C2)</f>
        <v>132</v>
      </c>
      <c r="I2" s="3">
        <f>EOMONTH(B2,2)</f>
        <v>45138</v>
      </c>
      <c r="J2" s="2"/>
    </row>
    <row r="3" spans="1:10">
      <c r="A3" s="2" t="s">
        <v>80</v>
      </c>
      <c r="B3" s="3">
        <v>45122</v>
      </c>
      <c r="C3" s="3">
        <v>45560</v>
      </c>
      <c r="D3" s="2"/>
      <c r="E3" s="2"/>
      <c r="F3" s="2">
        <v>2023</v>
      </c>
      <c r="G3" s="2">
        <v>9</v>
      </c>
      <c r="H3" s="2">
        <f>NETWORKDAYS(B3,C3)</f>
        <v>313</v>
      </c>
      <c r="I3" s="3">
        <f>EOMONTH(B3,2)</f>
        <v>45199</v>
      </c>
      <c r="J3" s="2"/>
    </row>
    <row r="4" spans="1:10">
      <c r="A4" s="2" t="s">
        <v>81</v>
      </c>
      <c r="B4" s="3">
        <v>45148</v>
      </c>
      <c r="C4" s="3">
        <v>45900</v>
      </c>
      <c r="D4" s="2"/>
      <c r="E4" s="2"/>
      <c r="F4" s="2">
        <v>2023</v>
      </c>
      <c r="G4" s="2">
        <v>8</v>
      </c>
      <c r="H4" s="2">
        <f>NETWORKDAYS(B4,C4)</f>
        <v>537</v>
      </c>
      <c r="I4" s="3">
        <f>EOMONTH(B4,2)</f>
        <v>45230</v>
      </c>
      <c r="J4" s="2"/>
    </row>
    <row r="5" spans="1:10">
      <c r="A5" s="2" t="s">
        <v>82</v>
      </c>
      <c r="B5" s="3">
        <v>45170</v>
      </c>
      <c r="C5" s="3">
        <v>46130</v>
      </c>
      <c r="D5" s="2"/>
      <c r="E5" s="2"/>
      <c r="F5" s="2">
        <v>2023</v>
      </c>
      <c r="G5" s="2">
        <v>4</v>
      </c>
      <c r="H5" s="2">
        <f>NETWORKDAYS(B5,C5)</f>
        <v>686</v>
      </c>
      <c r="I5" s="3">
        <f>EOMONTH(B5,2)</f>
        <v>45260</v>
      </c>
      <c r="J5" s="2"/>
    </row>
    <row r="6" spans="1:10">
      <c r="A6" s="2" t="s">
        <v>83</v>
      </c>
      <c r="B6" s="3">
        <v>45296</v>
      </c>
      <c r="C6" s="3">
        <v>46538</v>
      </c>
      <c r="D6" s="2"/>
      <c r="E6" s="2"/>
      <c r="F6" s="2">
        <v>2024</v>
      </c>
      <c r="G6" s="2">
        <v>5</v>
      </c>
      <c r="H6" s="2">
        <f>NETWORKDAYS(B6,C6)</f>
        <v>887</v>
      </c>
      <c r="I6" s="3">
        <f>EOMONTH(B6,2)</f>
        <v>45382</v>
      </c>
      <c r="J6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2026-01-30T10:36:00Z</dcterms:created>
  <dcterms:modified xsi:type="dcterms:W3CDTF">2026-02-16T12:11:00Z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3A9040101A5D46A58D4D71ABB52ECDB1_11</vt:lpwstr>
  </property>
  <property fmtid="{D5CDD505-2E9C-101B-9397-08002B2CF9AE}" pid="3" name="KSOProductBuildVer">
    <vt:lpwstr>1033-12.2.0.23196</vt:lpwstr>
  </property>
</Properties>
</file>