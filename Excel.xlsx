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<sst xmlns="http://schemas.openxmlformats.org/spreadsheetml/2006/main" count="58" uniqueCount="46">
  <si>
    <t>Name</t>
  </si>
  <si>
    <t>Score</t>
  </si>
  <si>
    <t>IF</t>
  </si>
  <si>
    <t>CountIf</t>
  </si>
  <si>
    <t>Sumif</t>
  </si>
  <si>
    <t>Averageif</t>
  </si>
  <si>
    <t>Concat</t>
  </si>
  <si>
    <t>dev</t>
  </si>
  <si>
    <t>pavi</t>
  </si>
  <si>
    <t>sanju</t>
  </si>
  <si>
    <t>preeti</t>
  </si>
  <si>
    <t>Employee</t>
  </si>
  <si>
    <t>Region</t>
  </si>
  <si>
    <t>Sales</t>
  </si>
  <si>
    <t>Quarter</t>
  </si>
  <si>
    <t>Index</t>
  </si>
  <si>
    <t>Match</t>
  </si>
  <si>
    <t>Unique</t>
  </si>
  <si>
    <t>IFS</t>
  </si>
  <si>
    <t>countIFS</t>
  </si>
  <si>
    <t>SUMIF</t>
  </si>
  <si>
    <t>AverageIFS</t>
  </si>
  <si>
    <t>meenakshi</t>
  </si>
  <si>
    <t>north</t>
  </si>
  <si>
    <t>Q1</t>
  </si>
  <si>
    <t>south</t>
  </si>
  <si>
    <t>niran</t>
  </si>
  <si>
    <t>Q2</t>
  </si>
  <si>
    <t>kiran</t>
  </si>
  <si>
    <t>rohit</t>
  </si>
  <si>
    <t>east</t>
  </si>
  <si>
    <t>Q3</t>
  </si>
  <si>
    <t>haran</t>
  </si>
  <si>
    <t>meenu</t>
  </si>
  <si>
    <t>A</t>
  </si>
  <si>
    <t>Left</t>
  </si>
  <si>
    <t>Right</t>
  </si>
  <si>
    <t>Mid</t>
  </si>
  <si>
    <t>Len</t>
  </si>
  <si>
    <t>Substitute</t>
  </si>
  <si>
    <t>Search</t>
  </si>
  <si>
    <t>Isnumber</t>
  </si>
  <si>
    <t>Apple Juice</t>
  </si>
  <si>
    <t>mango shake</t>
  </si>
  <si>
    <t>excel functions</t>
  </si>
  <si>
    <t>data science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</si>
</sst>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.5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0" fontId="1" fillId="6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7" borderId="1" xfId="0" applyFont="1" applyFill="1" applyBorder="1">
      <alignment vertical="center"/>
    </xf>
    <xf numFmtId="0" fontId="5" fillId="8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bgColor rgb="FF00B050"/>
        </patternFill>
      </fill>
    </dxf>
    <dxf>
      <fill>
        <patternFill patternType="solid">
          <bgColor theme="9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N14" sqref="N14"/>
    </sheetView>
  </sheetViews>
  <sheetFormatPr defaultColWidth="9.14285714285714" defaultRowHeight="15" outlineLevelRow="4" outlineLevelCol="7"/>
  <cols>
    <col min="6" max="6" width="13.7142857142857" customWidth="1"/>
  </cols>
  <sheetData>
    <row r="1" ht="15.75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/>
    </row>
    <row r="2" ht="15.75" spans="1:8">
      <c r="A2" s="11" t="s">
        <v>7</v>
      </c>
      <c r="B2" s="11">
        <v>45</v>
      </c>
      <c r="C2" s="11" t="str">
        <f>IF(B2&gt;=50,"Pass","Fail")</f>
        <v>Fail</v>
      </c>
      <c r="D2" s="11">
        <f>COUNTIF(B2:B5,"&gt;50")</f>
        <v>2</v>
      </c>
      <c r="E2" s="11">
        <f>SUMIF(B2:B5,"&gt;50",B2:B5)</f>
        <v>120</v>
      </c>
      <c r="F2" s="11">
        <f>AVERAGE(B2:B5)</f>
        <v>50</v>
      </c>
      <c r="G2" s="11" t="str">
        <f>_xlfn.CONCAT(A2,"-",B2)</f>
        <v>dev-45</v>
      </c>
      <c r="H2" s="10"/>
    </row>
    <row r="3" ht="15.75" spans="1:8">
      <c r="A3" s="11" t="s">
        <v>8</v>
      </c>
      <c r="B3" s="12">
        <v>65</v>
      </c>
      <c r="C3" s="11" t="str">
        <f>IF(B3&gt;=50,"Pass","Fail")</f>
        <v>Pass</v>
      </c>
      <c r="D3" s="11"/>
      <c r="E3" s="11"/>
      <c r="F3" s="11"/>
      <c r="G3" s="11"/>
      <c r="H3" s="10"/>
    </row>
    <row r="4" ht="15.75" spans="1:8">
      <c r="A4" s="11" t="s">
        <v>9</v>
      </c>
      <c r="B4" s="12">
        <v>55</v>
      </c>
      <c r="C4" s="11" t="str">
        <f>IF(B4&gt;=50,"Pass","Fail")</f>
        <v>Pass</v>
      </c>
      <c r="D4" s="11"/>
      <c r="E4" s="11"/>
      <c r="F4" s="11"/>
      <c r="G4" s="11"/>
      <c r="H4" s="10"/>
    </row>
    <row r="5" ht="15.75" spans="1:8">
      <c r="A5" s="11" t="s">
        <v>10</v>
      </c>
      <c r="B5" s="11">
        <v>35</v>
      </c>
      <c r="C5" s="11" t="str">
        <f>IF(B5&gt;=50,"Pass","Fail")</f>
        <v>Fail</v>
      </c>
      <c r="D5" s="11"/>
      <c r="E5" s="11"/>
      <c r="F5" s="11"/>
      <c r="G5" s="11"/>
      <c r="H5" s="10"/>
    </row>
  </sheetData>
  <conditionalFormatting sqref="B1:B5">
    <cfRule type="expression" dxfId="0" priority="5">
      <formula>"B2&gt;50"</formula>
    </cfRule>
    <cfRule type="expression" priority="4">
      <formula>"B2&gt;50"</formula>
    </cfRule>
    <cfRule type="expression" dxfId="1" priority="3">
      <formula>"B2&gt;50"</formula>
    </cfRule>
  </conditionalFormatting>
  <conditionalFormatting sqref="B2:B5">
    <cfRule type="expression" dxfId="0" priority="2">
      <formula>B2&gt;50</formula>
    </cfRule>
    <cfRule type="expression" dxfId="1" priority="1">
      <formula>B2&gt;50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I2" sqref="I2"/>
    </sheetView>
  </sheetViews>
  <sheetFormatPr defaultColWidth="9.14285714285714" defaultRowHeight="15"/>
  <cols>
    <col min="1" max="1" width="11" customWidth="1"/>
    <col min="7" max="7" width="12.7142857142857" customWidth="1"/>
    <col min="11" max="11" width="11.5714285714286" customWidth="1"/>
  </cols>
  <sheetData>
    <row r="1" ht="15.75" spans="1:12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8"/>
    </row>
    <row r="2" ht="15.75" spans="1:11">
      <c r="A2" s="6" t="s">
        <v>22</v>
      </c>
      <c r="B2" s="6" t="s">
        <v>23</v>
      </c>
      <c r="C2" s="6">
        <v>5000</v>
      </c>
      <c r="D2" s="6" t="s">
        <v>24</v>
      </c>
      <c r="E2" s="6" t="str">
        <f>INDEX(A2:D9,3,4)</f>
        <v>Q2</v>
      </c>
      <c r="F2" s="6">
        <f>MATCH(D4,D2:D9,0)</f>
        <v>3</v>
      </c>
      <c r="G2" s="6" t="str" cm="1">
        <f t="array" ref="G2:G8">_xlfn.UNIQUE(A2:A9)</f>
        <v>meenakshi</v>
      </c>
      <c r="H2" s="6" t="str" cm="1">
        <f t="array" ref="H2">_xlfn.IFS(C2&lt;5000,"Low",C2&lt;=7000,"Medium",C2&gt;7000,"High")</f>
        <v>Medium</v>
      </c>
      <c r="I2" s="6">
        <f>COUNTIF(C2:C9,6000)</f>
        <v>2</v>
      </c>
      <c r="J2" s="6">
        <f>SUMIFS(C2:C9,A2:A9,"pavi")</f>
        <v>17000</v>
      </c>
      <c r="K2" s="6">
        <f>AVERAGEIFS(C2:C9,A2:A9,"kiran")</f>
        <v>6000</v>
      </c>
    </row>
    <row r="3" ht="15.75" spans="1:11">
      <c r="A3" s="6" t="s">
        <v>8</v>
      </c>
      <c r="B3" s="6" t="s">
        <v>25</v>
      </c>
      <c r="C3" s="6">
        <v>8000</v>
      </c>
      <c r="D3" s="6" t="s">
        <v>24</v>
      </c>
      <c r="E3" s="6"/>
      <c r="F3" s="6"/>
      <c r="G3" s="6" t="str">
        <v>pavi</v>
      </c>
      <c r="H3" s="6" t="str" cm="1">
        <f t="array" ref="H3">_xlfn.IFS(C3&lt;5000,"Low",C3&lt;=7000,"Medium",C3&gt;7000,"High")</f>
        <v>High</v>
      </c>
      <c r="I3" s="6"/>
      <c r="J3" s="6"/>
      <c r="K3" s="6"/>
    </row>
    <row r="4" ht="15.75" spans="1:11">
      <c r="A4" s="6" t="s">
        <v>26</v>
      </c>
      <c r="B4" s="6" t="s">
        <v>23</v>
      </c>
      <c r="C4" s="6">
        <v>7000</v>
      </c>
      <c r="D4" s="6" t="s">
        <v>27</v>
      </c>
      <c r="E4" s="6"/>
      <c r="F4" s="6"/>
      <c r="G4" s="6" t="str">
        <v>niran</v>
      </c>
      <c r="H4" s="6" t="str" cm="1">
        <f t="array" ref="H4">_xlfn.IFS(C4&lt;5000,"Low",C4&lt;=7000,"Medium",C4&gt;7000,"High")</f>
        <v>Medium</v>
      </c>
      <c r="I4" s="6"/>
      <c r="J4" s="6"/>
      <c r="K4" s="6"/>
    </row>
    <row r="5" ht="15.75" spans="1:11">
      <c r="A5" s="6" t="s">
        <v>28</v>
      </c>
      <c r="B5" s="6" t="s">
        <v>25</v>
      </c>
      <c r="C5" s="6">
        <v>6000</v>
      </c>
      <c r="D5" s="6" t="s">
        <v>27</v>
      </c>
      <c r="E5" s="6"/>
      <c r="F5" s="6"/>
      <c r="G5" s="6" t="str">
        <v>kiran</v>
      </c>
      <c r="H5" s="6" t="str" cm="1">
        <f t="array" ref="H5">_xlfn.IFS(C5&lt;5000,"Low",C5&lt;=7000,"Medium",C5&gt;7000,"High")</f>
        <v>Medium</v>
      </c>
      <c r="I5" s="6"/>
      <c r="J5" s="6"/>
      <c r="K5" s="6"/>
    </row>
    <row r="6" ht="15.75" spans="1:11">
      <c r="A6" s="6" t="s">
        <v>29</v>
      </c>
      <c r="B6" s="6" t="s">
        <v>30</v>
      </c>
      <c r="C6" s="6">
        <v>4000</v>
      </c>
      <c r="D6" s="6" t="s">
        <v>24</v>
      </c>
      <c r="E6" s="6"/>
      <c r="F6" s="6"/>
      <c r="G6" s="6" t="str">
        <v>rohit</v>
      </c>
      <c r="H6" s="6" t="str" cm="1">
        <f t="array" ref="H6">_xlfn.IFS(C6&lt;5000,"Low",C6&lt;=7000,"Medium",C6&gt;7000,"High")</f>
        <v>Low</v>
      </c>
      <c r="I6" s="6"/>
      <c r="J6" s="6"/>
      <c r="K6" s="6"/>
    </row>
    <row r="7" ht="15.75" spans="1:11">
      <c r="A7" s="6" t="s">
        <v>8</v>
      </c>
      <c r="B7" s="6" t="s">
        <v>23</v>
      </c>
      <c r="C7" s="6">
        <v>9000</v>
      </c>
      <c r="D7" s="6" t="s">
        <v>31</v>
      </c>
      <c r="E7" s="6"/>
      <c r="F7" s="6"/>
      <c r="G7" s="6" t="str">
        <v>haran</v>
      </c>
      <c r="H7" s="6" t="str" cm="1">
        <f t="array" ref="H7">_xlfn.IFS(C7&lt;5000,"Low",C7&lt;=7000,"Medium",C7&gt;7000,"High")</f>
        <v>High</v>
      </c>
      <c r="I7" s="6"/>
      <c r="J7" s="6"/>
      <c r="K7" s="6"/>
    </row>
    <row r="8" ht="15.75" spans="1:11">
      <c r="A8" s="6" t="s">
        <v>32</v>
      </c>
      <c r="B8" s="6" t="s">
        <v>25</v>
      </c>
      <c r="C8" s="6">
        <v>3000</v>
      </c>
      <c r="D8" s="6" t="s">
        <v>31</v>
      </c>
      <c r="E8" s="6"/>
      <c r="F8" s="6"/>
      <c r="G8" s="6" t="str">
        <v>meenu</v>
      </c>
      <c r="H8" s="6" t="str" cm="1">
        <f t="array" ref="H8">_xlfn.IFS(C8&lt;5000,"Low",C8&lt;=7000,"Medium",C8&gt;7000,"High")</f>
        <v>Low</v>
      </c>
      <c r="I8" s="6"/>
      <c r="J8" s="6"/>
      <c r="K8" s="6"/>
    </row>
    <row r="9" ht="15.75" spans="1:11">
      <c r="A9" s="6" t="s">
        <v>33</v>
      </c>
      <c r="B9" s="6" t="s">
        <v>30</v>
      </c>
      <c r="C9" s="6">
        <v>6000</v>
      </c>
      <c r="D9" s="6" t="s">
        <v>27</v>
      </c>
      <c r="E9" s="6"/>
      <c r="F9" s="6"/>
      <c r="G9" s="6"/>
      <c r="H9" s="6" t="str" cm="1">
        <f t="array" ref="H9">_xlfn.IFS(C9&lt;5000,"Low",C9&lt;=7000,"Medium",C9&gt;7000,"High")</f>
        <v>Medium</v>
      </c>
      <c r="I9" s="6"/>
      <c r="J9" s="6"/>
      <c r="K9" s="6"/>
    </row>
    <row r="16" spans="8:8">
      <c r="H16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H15" sqref="H15"/>
    </sheetView>
  </sheetViews>
  <sheetFormatPr defaultColWidth="9.14285714285714" defaultRowHeight="15" outlineLevelRow="4" outlineLevelCol="7"/>
  <cols>
    <col min="1" max="1" width="15.5714285714286" customWidth="1"/>
    <col min="6" max="6" width="10.8571428571429" customWidth="1"/>
  </cols>
  <sheetData>
    <row r="1" ht="15.75" spans="1:8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2" t="s">
        <v>40</v>
      </c>
      <c r="H1" s="2" t="s">
        <v>41</v>
      </c>
    </row>
    <row r="2" ht="17.25" spans="1:8">
      <c r="A2" s="3" t="s">
        <v>42</v>
      </c>
      <c r="B2" s="3" t="str">
        <f>LEFT(A2,5)</f>
        <v>Apple</v>
      </c>
      <c r="C2" s="3" t="str">
        <f>RIGHT(A2,5)</f>
        <v>Juice</v>
      </c>
      <c r="D2" s="3" t="str">
        <f>MID(A2,7,5)</f>
        <v>Juice</v>
      </c>
      <c r="E2" s="4">
        <f>LEN(A2)</f>
        <v>11</v>
      </c>
      <c r="F2" s="3" t="str">
        <f>SUBSTITUTE(A2,"Juice","ice")</f>
        <v>Apple ice</v>
      </c>
      <c r="G2" s="4">
        <f>SEARCH("Apple",A2)</f>
        <v>1</v>
      </c>
      <c r="H2" s="4" t="b">
        <f>ISNUMBER(SEARCH("Juice",A2))</f>
        <v>1</v>
      </c>
    </row>
    <row r="3" ht="17.25" spans="1:8">
      <c r="A3" s="3" t="s">
        <v>43</v>
      </c>
      <c r="B3" s="4"/>
      <c r="C3" s="4"/>
      <c r="D3" s="4"/>
      <c r="E3" s="4">
        <f>LEN(A3)</f>
        <v>11</v>
      </c>
      <c r="F3" s="4"/>
      <c r="G3" s="4"/>
      <c r="H3" s="4"/>
    </row>
    <row r="4" ht="17.25" spans="1:8">
      <c r="A4" s="3" t="s">
        <v>44</v>
      </c>
      <c r="B4" s="4"/>
      <c r="C4" s="4"/>
      <c r="D4" s="4"/>
      <c r="E4" s="4">
        <f>LEN(A4)</f>
        <v>15</v>
      </c>
      <c r="F4" s="4"/>
      <c r="G4" s="4"/>
      <c r="H4" s="4"/>
    </row>
    <row r="5" ht="17.25" spans="1:8">
      <c r="A5" s="3" t="s">
        <v>45</v>
      </c>
      <c r="B5" s="4"/>
      <c r="C5" s="4"/>
      <c r="D5" s="4"/>
      <c r="E5" s="4">
        <f>LEN(A5)</f>
        <v>12</v>
      </c>
      <c r="F5" s="4"/>
      <c r="G5" s="4"/>
      <c r="H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2026-01-30T10:36:00Z</dcterms:created>
  <dcterms:modified xsi:type="dcterms:W3CDTF">2026-02-06T16:42:53Z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3A9040101A5D46A58D4D71ABB52ECDB1_11</vt:lpwstr>
  </property>
  <property fmtid="{D5CDD505-2E9C-101B-9397-08002B2CF9AE}" pid="3" name="KSOProductBuildVer">
    <vt:lpwstr>1033-12.2.0.23196</vt:lpwstr>
  </property>
</Properties>
</file>